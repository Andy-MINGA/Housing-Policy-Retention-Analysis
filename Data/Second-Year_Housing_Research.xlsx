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P:\Andy &amp; Amy shared folder\Retention-Housing\"/>
    </mc:Choice>
  </mc:AlternateContent>
  <xr:revisionPtr revIDLastSave="0" documentId="8_{78AA1D23-8A34-4131-AE1A-CD75D540ADD8}" xr6:coauthVersionLast="47" xr6:coauthVersionMax="47" xr10:uidLastSave="{00000000-0000-0000-0000-000000000000}"/>
  <bookViews>
    <workbookView xWindow="-120" yWindow="-120" windowWidth="19440" windowHeight="14880" xr2:uid="{00000000-000D-0000-FFFF-FFFF00000000}"/>
  </bookViews>
  <sheets>
    <sheet name="Housing Research Template" sheetId="1" r:id="rId1"/>
    <sheet name="Average Retention by housing" sheetId="2" r:id="rId2"/>
  </sheets>
  <definedNames>
    <definedName name="_xlnm._FilterDatabase" localSheetId="0" hidden="1">'Housing Research Template'!$E$1:$F$23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C2" i="2"/>
  <c r="B2" i="2"/>
</calcChain>
</file>

<file path=xl/sharedStrings.xml><?xml version="1.0" encoding="utf-8"?>
<sst xmlns="http://schemas.openxmlformats.org/spreadsheetml/2006/main" count="232" uniqueCount="127">
  <si>
    <t>School Name</t>
  </si>
  <si>
    <t>Location</t>
  </si>
  <si>
    <t>Type (Public/Private)</t>
  </si>
  <si>
    <t>Housing Requirement Freshman</t>
  </si>
  <si>
    <t>Housing Requirement Sophomore</t>
  </si>
  <si>
    <t>Notes on Exceptions</t>
  </si>
  <si>
    <t>Freshman → Sophomore Retention (%)</t>
  </si>
  <si>
    <t>Source (Housing Info)</t>
  </si>
  <si>
    <t>Source (Retention Info)</t>
  </si>
  <si>
    <t>Public</t>
  </si>
  <si>
    <t>Yes</t>
  </si>
  <si>
    <t>No</t>
  </si>
  <si>
    <t>Sophomore  → Junior Retention (%)</t>
  </si>
  <si>
    <t>Eastern Illinois University</t>
  </si>
  <si>
    <t>Illinois State University</t>
  </si>
  <si>
    <t>Northern Illinois University</t>
  </si>
  <si>
    <t>Western Illinois University</t>
  </si>
  <si>
    <t>Ball State University</t>
  </si>
  <si>
    <t>California State University-Fresno</t>
  </si>
  <si>
    <t>California State University-San Bernardino</t>
  </si>
  <si>
    <t>James Madison University</t>
  </si>
  <si>
    <t>Miami University-Oxford</t>
  </si>
  <si>
    <t>Montclair State University</t>
  </si>
  <si>
    <t>Northern Arizona University</t>
  </si>
  <si>
    <t>University of North Carolina-Charlotte</t>
  </si>
  <si>
    <t>University of North Carolina-Wilmington</t>
  </si>
  <si>
    <t>University of Rhode Island</t>
  </si>
  <si>
    <t>West Chester University of Pennsylvania</t>
  </si>
  <si>
    <t>Southern Illinois University–Carbondale</t>
  </si>
  <si>
    <t>Southern Illinois University–Edwardsville</t>
  </si>
  <si>
    <t>Indiana State University</t>
  </si>
  <si>
    <t>Missouri State University</t>
  </si>
  <si>
    <t>Western Michigan University</t>
  </si>
  <si>
    <t>Central Michigan University</t>
  </si>
  <si>
    <t>Bowling Green State University</t>
  </si>
  <si>
    <t>Group</t>
  </si>
  <si>
    <t xml:space="preserve"> Midwest</t>
  </si>
  <si>
    <t>Official ISU Peer Institution</t>
  </si>
  <si>
    <t>Normal, Illinois</t>
  </si>
  <si>
    <t>Charleston, Illinois</t>
  </si>
  <si>
    <t>DeKalb, Illinois</t>
  </si>
  <si>
    <t>Carbondale, Illinois</t>
  </si>
  <si>
    <t>Edwardsville, Illinois</t>
  </si>
  <si>
    <t>Macomb, Illinois</t>
  </si>
  <si>
    <t>Terre Haute,Indiana</t>
  </si>
  <si>
    <t>Springfield, Missouri</t>
  </si>
  <si>
    <t>Kalamazoo, Michigan</t>
  </si>
  <si>
    <t>Mount Pleasant, Michigan</t>
  </si>
  <si>
    <t>Bowling Green, Ohio</t>
  </si>
  <si>
    <t>Muncie, Indiana</t>
  </si>
  <si>
    <t>Oxford, Ohio</t>
  </si>
  <si>
    <t>San Bernardino, California</t>
  </si>
  <si>
    <t>Harrisonburg, Virginia</t>
  </si>
  <si>
    <t>Montclair, New Jersey</t>
  </si>
  <si>
    <t>Flagstaff, Arizona</t>
  </si>
  <si>
    <t>Charlotte,North Carolina</t>
  </si>
  <si>
    <t>Wilmington, North Carolina</t>
  </si>
  <si>
    <t>Kingston, Rhode Island</t>
  </si>
  <si>
    <t>West Chester, Pennsylvania</t>
  </si>
  <si>
    <t>Fresno, California</t>
  </si>
  <si>
    <t>https://www.eiu.edu/housing/require.php?</t>
  </si>
  <si>
    <t>https://indianastate.edu/policy-library/first-year-residency-requirement</t>
  </si>
  <si>
    <r>
      <t>Freshmen</t>
    </r>
    <r>
      <rPr>
        <sz val="11"/>
        <color theme="1"/>
        <rFont val="Calibri"/>
        <family val="2"/>
        <scheme val="minor"/>
      </rPr>
      <t xml:space="preserve"> (All new students with &lt; 24 credit hours).</t>
    </r>
  </si>
  <si>
    <r>
      <t>Freshmen</t>
    </r>
    <r>
      <rPr>
        <sz val="11"/>
        <color theme="1"/>
        <rFont val="Calibri"/>
        <family val="2"/>
        <scheme val="minor"/>
      </rPr>
      <t xml:space="preserve"> (All new students with &lt; 26 credit hours)</t>
    </r>
  </si>
  <si>
    <t>https://housing.siu.edu/</t>
  </si>
  <si>
    <r>
      <t>Freshmen</t>
    </r>
    <r>
      <rPr>
        <sz val="11"/>
        <color theme="1"/>
        <rFont val="Calibri"/>
        <family val="2"/>
        <scheme val="minor"/>
      </rPr>
      <t xml:space="preserve"> (First-year students living outside 25 miles)</t>
    </r>
  </si>
  <si>
    <t>https://www.siue.edu/housing/application-costs-forms/</t>
  </si>
  <si>
    <r>
      <t>Freshmen &amp; Sophomores</t>
    </r>
    <r>
      <rPr>
        <sz val="11"/>
        <color theme="1"/>
        <rFont val="Calibri"/>
        <family val="2"/>
        <scheme val="minor"/>
      </rPr>
      <t xml:space="preserve"> (Students with &lt; 60 credits).</t>
    </r>
  </si>
  <si>
    <t>https://www.wiu.edu/student_success/housing/resources/housingpolicy.php</t>
  </si>
  <si>
    <t>https://www.niu.edu/housing/faq/contracts/index.shtml</t>
  </si>
  <si>
    <t>First-year students</t>
  </si>
  <si>
    <r>
      <t>No Requirement</t>
    </r>
    <r>
      <rPr>
        <sz val="11"/>
        <color theme="1"/>
        <rFont val="Calibri"/>
        <family val="2"/>
        <scheme val="minor"/>
      </rPr>
      <t xml:space="preserve"> (Housing is optional)</t>
    </r>
  </si>
  <si>
    <t>https://reslife.missouristate.edu/policies.htm</t>
  </si>
  <si>
    <t>All single students under 21 years of age who have earned fewer than 27 hours of transferable credit after high school graduation are required to live in University housing.</t>
  </si>
  <si>
    <t>https://wmich.edu/housing/info/policies</t>
  </si>
  <si>
    <t xml:space="preserve">Freshmen &amp; Sophomores are required to live on campus. (With some exemptions). Transfer students have the option to live on campus but aren’t automatically required. </t>
  </si>
  <si>
    <t>https://www.cmich.edu/student-life/housing/housing-policies-and-guidelines</t>
  </si>
  <si>
    <t xml:space="preserve">Freshmen &amp; Sophomores are required to live on campus. (With some exemptions). </t>
  </si>
  <si>
    <t>https://www.bgsu.edu/housing/housing-resources/housing-policies.html</t>
  </si>
  <si>
    <t>All incoming Ball State students (Freshmen and Transfer students) are required to live in university housing for two semesters (one academic year) unless they meet at least one of the exemption criteria</t>
  </si>
  <si>
    <t>https://www.bsu.edu/campuslife/housing/apply-for-housing</t>
  </si>
  <si>
    <r>
      <t>Miami University requires most first- and second-year students to live in university housing</t>
    </r>
    <r>
      <rPr>
        <sz val="11"/>
        <color theme="1"/>
        <rFont val="Calibri"/>
        <family val="2"/>
        <scheme val="minor"/>
      </rPr>
      <t>, unless they qualify for an exemption</t>
    </r>
  </si>
  <si>
    <t>https://miamioh.edu/life-at-miami/living-on-campus/housing/</t>
  </si>
  <si>
    <t>https://fresnostatehousing.org/residentinfo/</t>
  </si>
  <si>
    <t>All new first‑year students are required to live in university residence halls for their entire first academic year (fall and spring) unless they receive an approved exemption.</t>
  </si>
  <si>
    <t>https://www.jmu.edu/orl/housing/index.shtml</t>
  </si>
  <si>
    <t>https://www.montclair.edu/residence-life/standardpoliciesandprocedures/</t>
  </si>
  <si>
    <t>https://nau.edu/flagstaff-campus/campus-living/living-communities/</t>
  </si>
  <si>
    <r>
      <t xml:space="preserve">First‑Year Live‑On Requirement for </t>
    </r>
    <r>
      <rPr>
        <i/>
        <sz val="11"/>
        <color theme="1"/>
        <rFont val="Calibri"/>
        <family val="2"/>
        <scheme val="minor"/>
      </rPr>
      <t>first‑time in college (FTIC)</t>
    </r>
    <r>
      <rPr>
        <sz val="11"/>
        <color theme="1"/>
        <rFont val="Calibri"/>
        <family val="2"/>
        <scheme val="minor"/>
      </rPr>
      <t xml:space="preserve"> only</t>
    </r>
  </si>
  <si>
    <t>https://housing.charlotte.edu/apply</t>
  </si>
  <si>
    <r>
      <t xml:space="preserve">Requires first‑year students to live in on‑campus housing for their </t>
    </r>
    <r>
      <rPr>
        <i/>
        <sz val="11"/>
        <color theme="1"/>
        <rFont val="Calibri"/>
        <family val="2"/>
        <scheme val="minor"/>
      </rPr>
      <t>first two academic years</t>
    </r>
    <r>
      <rPr>
        <sz val="11"/>
        <color theme="1"/>
        <rFont val="Calibri"/>
        <family val="2"/>
        <scheme val="minor"/>
      </rPr>
      <t xml:space="preserve"> unless they meet an approved exception</t>
    </r>
  </si>
  <si>
    <t>https://uncw.edu/seahawk-life/dining-housing/housing/applying/residency-requirement</t>
  </si>
  <si>
    <t>The University does not state a universal mandatory residency requirement for students. However; it encourages incoming first‑year students to live on campus, and about 95% of first‑year students choose to live in residence halls.</t>
  </si>
  <si>
    <t>https://web.uri.edu/housing/apply/first-year/</t>
  </si>
  <si>
    <t>https://www.wcupa.edu/_services/residenceLife/</t>
  </si>
  <si>
    <t>https://fresnostatehousing.org/faqs/</t>
  </si>
  <si>
    <t>No Requirement (Housing is optional)</t>
  </si>
  <si>
    <r>
      <t>Freshmen &amp; Sophomores</t>
    </r>
    <r>
      <rPr>
        <sz val="11"/>
        <color theme="1"/>
        <rFont val="Calibri"/>
        <family val="2"/>
        <scheme val="minor"/>
      </rPr>
      <t xml:space="preserve"> (Required for the first two years after high school graduation)</t>
    </r>
  </si>
  <si>
    <t>https://housing.illinoisstate.edu/contracts/</t>
  </si>
  <si>
    <t>All students are required to live in University residence halls for the first two years after graduating high school, until all available residence hall space is exhausted. This includes: Freshmen and sophomores, and transfer students under age 20 who have fewer than 48 credit hours earned after high school graduation (dual credit does not count toward this total).</t>
  </si>
  <si>
    <t> 81.9%</t>
  </si>
  <si>
    <t>https://news.illinoisstate.edu/2025/09/illinois-state-university-continues-strategic-enrollment-growth/?utm_source=chatgpt.com</t>
  </si>
  <si>
    <t>https://www.eiu.edu/ir/retention_rates.php?</t>
  </si>
  <si>
    <t>https://www.niu.edu/disclosures/student-outcomes/index.shtml?</t>
  </si>
  <si>
    <t>https://www.wiu.edu/board_of_trustees/minutes/2025_09_26_Board_Book_PDF_Final.pdf?</t>
  </si>
  <si>
    <t xml:space="preserve">Not published </t>
  </si>
  <si>
    <t>https://en.wikipedia.org/wiki/Central_Michigan_University</t>
  </si>
  <si>
    <t>https://nces.ed.gov/collegenavigator/?q=Western+Illinois+University&amp;s=all&amp;id=149772</t>
  </si>
  <si>
    <t>https://nces.ed.gov/collegenavigator/?q=Missouri+State+University&amp;s=all&amp;id=179566#retgrad</t>
  </si>
  <si>
    <t>https://nces.ed.gov/collegenavigator/?q=Western+Michigan+University&amp;s=all&amp;id=172699#retgrad</t>
  </si>
  <si>
    <t>https://nces.ed.gov/collegenavigator/?q=Bowling+Green+State+University&amp;s=all&amp;id=201441</t>
  </si>
  <si>
    <t>https://nces.ed.gov/collegenavigator/?q=Ball+State+University&amp;s=all&amp;id=150136#retgrad</t>
  </si>
  <si>
    <t>https://nces.ed.gov/collegenavigator/?q=Miami+University-Oxford&amp;s=all&amp;id=204024#retgrad</t>
  </si>
  <si>
    <t>https://nces.ed.gov/collegenavigator/?q=California+State+University&amp;s=all&amp;pg=2&amp;id=110510#retgrad</t>
  </si>
  <si>
    <t>https://nces.ed.gov/collegenavigator/?q=James+Madison+University&amp;s=all&amp;id=232423#retgrad</t>
  </si>
  <si>
    <t>https://nces.ed.gov/collegenavigator/?q=University+of+Rhode+Island&amp;s=all&amp;id=217484#retgrad</t>
  </si>
  <si>
    <t>https://nces.ed.gov/collegenavigator/?q=University+of+North+Carolina&amp;s=all&amp;id=199218#retgrad</t>
  </si>
  <si>
    <t>https://nces.ed.gov/collegenavigator/?q=Montclair+State+University&amp;s=all&amp;id=185590#retgrad</t>
  </si>
  <si>
    <t>https://nces.ed.gov/collegenavigator/?q=Northern+Arizona+University&amp;s=all&amp;id=105330#retgrad</t>
  </si>
  <si>
    <t>https://nces.ed.gov/collegenavigator/?q=University+of+North+Carolina&amp;s=all&amp;id=199139#retgrad</t>
  </si>
  <si>
    <t>https://nces.ed.gov/collegenavigator/?q=California+State+University&amp;s=all&amp;id=110556#retgrad</t>
  </si>
  <si>
    <t>https://nces.ed.gov/collegenavigator/?q=West+Chester+University+of+Pennsylvania&amp;s=all&amp;id=216764#retgrad</t>
  </si>
  <si>
    <t>https://www.siue.edu/inrs/factbook/pdf/FbCurrent.pdf</t>
  </si>
  <si>
    <t>https://drive.google.com/file/d/13lW89Ofn7Js5NavdW9eM2bNY5foUw0BA/view</t>
  </si>
  <si>
    <t xml:space="preserve">Two Years Housing Requirement </t>
  </si>
  <si>
    <t>One Year  Housing Requirement</t>
  </si>
  <si>
    <t>No Housing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</si>
</sst>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6" x14ac:knownFonts="1">
    <font>
      <sz val="11"/>
      <color theme="1"/>
      <name val="Calibri"/>
      <family val="2"/>
      <scheme val="minor"/>
    </font>
    <font>
      <sz val="11"/>
      <color theme="1"/>
      <name val="Calibri"/>
      <family val="2"/>
      <scheme val="minor"/>
    </font>
    <font>
      <b/>
      <sz val="11"/>
      <color theme="3"/>
      <name val="Calibri"/>
      <family val="2"/>
      <scheme val="minor"/>
    </font>
    <font>
      <u/>
      <sz val="11"/>
      <color theme="10"/>
      <name val="Calibri"/>
      <family val="2"/>
      <scheme val="minor"/>
    </font>
    <font>
      <i/>
      <sz val="11"/>
      <color theme="1"/>
      <name val="Calibri"/>
      <family val="2"/>
      <scheme val="minor"/>
    </font>
    <font>
      <b/>
      <sz val="12"/>
      <color theme="3"/>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1">
    <xf numFmtId="0" fontId="0" fillId="0" borderId="0" xfId="0"/>
    <xf numFmtId="0" fontId="2" fillId="0" borderId="1" xfId="0" applyFont="1" applyBorder="1"/>
    <xf numFmtId="0" fontId="0" fillId="0" borderId="0" xfId="0" applyAlignment="1">
      <alignment horizontal="left" vertical="center" indent="1"/>
    </xf>
    <xf numFmtId="0" fontId="2" fillId="0" borderId="0" xfId="0" applyFont="1" applyBorder="1"/>
    <xf numFmtId="0" fontId="0" fillId="0" borderId="0" xfId="0" applyAlignment="1">
      <alignment horizontal="center" vertical="center" wrapText="1"/>
    </xf>
    <xf numFmtId="0" fontId="0" fillId="0" borderId="0" xfId="0" applyAlignment="1">
      <alignment vertical="center" wrapText="1"/>
    </xf>
    <xf numFmtId="0" fontId="3" fillId="0" borderId="0" xfId="2"/>
    <xf numFmtId="168" fontId="0" fillId="0" borderId="0" xfId="1" applyNumberFormat="1" applyFont="1" applyAlignment="1">
      <alignment horizontal="center" vertical="center" wrapText="1"/>
    </xf>
    <xf numFmtId="9" fontId="0" fillId="0" borderId="0" xfId="0" applyNumberFormat="1" applyAlignment="1">
      <alignment horizontal="center" vertical="center" wrapText="1"/>
    </xf>
    <xf numFmtId="168" fontId="0" fillId="0" borderId="0" xfId="1" applyNumberFormat="1" applyFont="1" applyAlignment="1">
      <alignment horizontal="center"/>
    </xf>
    <xf numFmtId="0" fontId="5" fillId="0" borderId="1" xfId="0" applyFont="1" applyBorder="1" applyAlignment="1">
      <alignment vertical="center"/>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Comparison of Average First-Year Retention Rates by Housing Residency Requirement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'Average Retention by housing'!$B$1:$D$1</c:f>
              <c:strCache>
                <c:ptCount val="3"/>
                <c:pt idx="0">
                  <c:v>Two Years Housing Requirement </c:v>
                </c:pt>
                <c:pt idx="1">
                  <c:v>One Year  Housing Requirement</c:v>
                </c:pt>
                <c:pt idx="2">
                  <c:v>No Housing Requirement</c:v>
                </c:pt>
              </c:strCache>
            </c:strRef>
          </c:cat>
          <c:val>
            <c:numRef>
              <c:f>'Average Retention by housing'!$B$2:$D$2</c:f>
              <c:numCache>
                <c:formatCode>0.0%</c:formatCode>
                <c:ptCount val="3"/>
                <c:pt idx="0">
                  <c:v>0.77666666666666673</c:v>
                </c:pt>
                <c:pt idx="1">
                  <c:v>0.76300000000000001</c:v>
                </c:pt>
                <c:pt idx="2">
                  <c:v>0.80428571428571427</c:v>
                </c:pt>
              </c:numCache>
            </c:numRef>
          </c:val>
          <c:smooth val="0"/>
          <c:extLst>
            <c:ext xmlns:c16="http://schemas.microsoft.com/office/drawing/2014/chart" uri="{C3380CC4-5D6E-409C-BE32-E72D297353CC}">
              <c16:uniqueId val="{00000000-1962-402B-89FB-651DD795C08C}"/>
            </c:ext>
          </c:extLst>
        </c:ser>
        <c:dLbls>
          <c:dLblPos val="ctr"/>
          <c:showLegendKey val="0"/>
          <c:showVal val="1"/>
          <c:showCatName val="0"/>
          <c:showSerName val="0"/>
          <c:showPercent val="0"/>
          <c:showBubbleSize val="0"/>
        </c:dLbls>
        <c:smooth val="0"/>
        <c:axId val="154358496"/>
        <c:axId val="154358976"/>
      </c:lineChart>
      <c:catAx>
        <c:axId val="1543584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358976"/>
        <c:crosses val="autoZero"/>
        <c:auto val="1"/>
        <c:lblAlgn val="ctr"/>
        <c:lblOffset val="100"/>
        <c:noMultiLvlLbl val="0"/>
      </c:catAx>
      <c:valAx>
        <c:axId val="1543589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35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176212</xdr:rowOff>
    </xdr:from>
    <xdr:to>
      <xdr:col>2</xdr:col>
      <xdr:colOff>2190750</xdr:colOff>
      <xdr:row>17</xdr:row>
      <xdr:rowOff>61912</xdr:rowOff>
    </xdr:to>
    <xdr:graphicFrame macro="">
      <xdr:nvGraphicFramePr>
        <xdr:cNvPr id="2" name="Chart 1">
          <a:extLst>
            <a:ext uri="{FF2B5EF4-FFF2-40B4-BE49-F238E27FC236}">
              <a16:creationId xmlns:a16="http://schemas.microsoft.com/office/drawing/2014/main" id="{7180ED1A-E945-8949-00BA-933EDD90C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resnostatehousing.org/residentinfo/" TargetMode="External"/><Relationship Id="rId18" Type="http://schemas.openxmlformats.org/officeDocument/2006/relationships/hyperlink" Target="https://uncw.edu/seahawk-life/dining-housing/housing/applying/residency-requirement" TargetMode="External"/><Relationship Id="rId26" Type="http://schemas.openxmlformats.org/officeDocument/2006/relationships/hyperlink" Target="https://nces.ed.gov/collegenavigator/?q=Missouri+State+University&amp;s=all&amp;id=179566" TargetMode="External"/><Relationship Id="rId39" Type="http://schemas.openxmlformats.org/officeDocument/2006/relationships/hyperlink" Target="https://drive.google.com/file/d/13lW89Ofn7Js5NavdW9eM2bNY5foUw0BA/view" TargetMode="External"/><Relationship Id="rId21" Type="http://schemas.openxmlformats.org/officeDocument/2006/relationships/hyperlink" Target="https://fresnostatehousing.org/faqs/" TargetMode="External"/><Relationship Id="rId34" Type="http://schemas.openxmlformats.org/officeDocument/2006/relationships/hyperlink" Target="https://nces.ed.gov/collegenavigator/?q=University+of+North+Carolina&amp;s=all&amp;id=199218" TargetMode="External"/><Relationship Id="rId7" Type="http://schemas.openxmlformats.org/officeDocument/2006/relationships/hyperlink" Target="https://reslife.missouristate.edu/policies.htm" TargetMode="External"/><Relationship Id="rId12" Type="http://schemas.openxmlformats.org/officeDocument/2006/relationships/hyperlink" Target="https://miamioh.edu/life-at-miami/living-on-campus/housing/" TargetMode="External"/><Relationship Id="rId17" Type="http://schemas.openxmlformats.org/officeDocument/2006/relationships/hyperlink" Target="https://housing.charlotte.edu/apply" TargetMode="External"/><Relationship Id="rId25" Type="http://schemas.openxmlformats.org/officeDocument/2006/relationships/hyperlink" Target="https://nces.ed.gov/collegenavigator/?q=Western+Illinois+University&amp;s=all&amp;id=149772" TargetMode="External"/><Relationship Id="rId33" Type="http://schemas.openxmlformats.org/officeDocument/2006/relationships/hyperlink" Target="https://nces.ed.gov/collegenavigator/?q=University+of+Rhode+Island&amp;s=all&amp;id=217484" TargetMode="External"/><Relationship Id="rId38" Type="http://schemas.openxmlformats.org/officeDocument/2006/relationships/hyperlink" Target="https://nces.ed.gov/collegenavigator/?q=California+State+University&amp;s=all&amp;id=110556" TargetMode="External"/><Relationship Id="rId2" Type="http://schemas.openxmlformats.org/officeDocument/2006/relationships/hyperlink" Target="https://www.eiu.edu/housing/require.php?" TargetMode="External"/><Relationship Id="rId16" Type="http://schemas.openxmlformats.org/officeDocument/2006/relationships/hyperlink" Target="https://nau.edu/flagstaff-campus/campus-living/living-communities/" TargetMode="External"/><Relationship Id="rId20" Type="http://schemas.openxmlformats.org/officeDocument/2006/relationships/hyperlink" Target="https://www.wcupa.edu/_services/residenceLife/" TargetMode="External"/><Relationship Id="rId29" Type="http://schemas.openxmlformats.org/officeDocument/2006/relationships/hyperlink" Target="https://nces.ed.gov/collegenavigator/?q=Ball+State+University&amp;s=all&amp;id=150136" TargetMode="External"/><Relationship Id="rId1" Type="http://schemas.openxmlformats.org/officeDocument/2006/relationships/hyperlink" Target="https://indianastate.edu/policy-library/first-year-residency-requirement" TargetMode="External"/><Relationship Id="rId6" Type="http://schemas.openxmlformats.org/officeDocument/2006/relationships/hyperlink" Target="https://www.niu.edu/housing/faq/contracts/index.shtml" TargetMode="External"/><Relationship Id="rId11" Type="http://schemas.openxmlformats.org/officeDocument/2006/relationships/hyperlink" Target="https://www.bsu.edu/campuslife/housing/apply-for-housing" TargetMode="External"/><Relationship Id="rId24" Type="http://schemas.openxmlformats.org/officeDocument/2006/relationships/hyperlink" Target="https://www.siue.edu/inrs/factbook/pdf/FbCurrent.pdf" TargetMode="External"/><Relationship Id="rId32" Type="http://schemas.openxmlformats.org/officeDocument/2006/relationships/hyperlink" Target="https://nces.ed.gov/collegenavigator/?q=James+Madison+University&amp;s=all&amp;id=232423" TargetMode="External"/><Relationship Id="rId37" Type="http://schemas.openxmlformats.org/officeDocument/2006/relationships/hyperlink" Target="https://nces.ed.gov/collegenavigator/?q=University+of+North+Carolina&amp;s=all&amp;id=199139" TargetMode="External"/><Relationship Id="rId5" Type="http://schemas.openxmlformats.org/officeDocument/2006/relationships/hyperlink" Target="https://www.wiu.edu/student_success/housing/resources/housingpolicy.php" TargetMode="External"/><Relationship Id="rId15" Type="http://schemas.openxmlformats.org/officeDocument/2006/relationships/hyperlink" Target="https://www.montclair.edu/residence-life/standardpoliciesandprocedures/" TargetMode="External"/><Relationship Id="rId23" Type="http://schemas.openxmlformats.org/officeDocument/2006/relationships/hyperlink" Target="https://en.wikipedia.org/wiki/Central_Michigan_University" TargetMode="External"/><Relationship Id="rId28" Type="http://schemas.openxmlformats.org/officeDocument/2006/relationships/hyperlink" Target="https://nces.ed.gov/collegenavigator/?q=Bowling+Green+State+University&amp;s=all&amp;id=201441" TargetMode="External"/><Relationship Id="rId36" Type="http://schemas.openxmlformats.org/officeDocument/2006/relationships/hyperlink" Target="https://nces.ed.gov/collegenavigator/?q=Northern+Arizona+University&amp;s=all&amp;id=105330" TargetMode="External"/><Relationship Id="rId10" Type="http://schemas.openxmlformats.org/officeDocument/2006/relationships/hyperlink" Target="https://www.bgsu.edu/housing/housing-resources/housing-policies.html" TargetMode="External"/><Relationship Id="rId19" Type="http://schemas.openxmlformats.org/officeDocument/2006/relationships/hyperlink" Target="https://web.uri.edu/housing/apply/first-year/" TargetMode="External"/><Relationship Id="rId31" Type="http://schemas.openxmlformats.org/officeDocument/2006/relationships/hyperlink" Target="https://nces.ed.gov/collegenavigator/?q=California+State+University&amp;s=all&amp;pg=2&amp;id=110510" TargetMode="External"/><Relationship Id="rId4" Type="http://schemas.openxmlformats.org/officeDocument/2006/relationships/hyperlink" Target="https://www.siue.edu/housing/application-costs-forms/" TargetMode="External"/><Relationship Id="rId9" Type="http://schemas.openxmlformats.org/officeDocument/2006/relationships/hyperlink" Target="https://www.cmich.edu/student-life/housing/housing-policies-and-guidelines" TargetMode="External"/><Relationship Id="rId14" Type="http://schemas.openxmlformats.org/officeDocument/2006/relationships/hyperlink" Target="https://www.jmu.edu/orl/housing/index.shtml" TargetMode="External"/><Relationship Id="rId22" Type="http://schemas.openxmlformats.org/officeDocument/2006/relationships/hyperlink" Target="https://www.wiu.edu/board_of_trustees/minutes/2025_09_26_Board_Book_PDF_Final.pdf?" TargetMode="External"/><Relationship Id="rId27" Type="http://schemas.openxmlformats.org/officeDocument/2006/relationships/hyperlink" Target="https://nces.ed.gov/collegenavigator/?q=Western+Michigan+University&amp;s=all&amp;id=172699" TargetMode="External"/><Relationship Id="rId30" Type="http://schemas.openxmlformats.org/officeDocument/2006/relationships/hyperlink" Target="https://nces.ed.gov/collegenavigator/?q=Miami+University-Oxford&amp;s=all&amp;id=204024" TargetMode="External"/><Relationship Id="rId35" Type="http://schemas.openxmlformats.org/officeDocument/2006/relationships/hyperlink" Target="https://nces.ed.gov/collegenavigator/?q=Montclair+State+University&amp;s=all&amp;id=185590" TargetMode="External"/><Relationship Id="rId8" Type="http://schemas.openxmlformats.org/officeDocument/2006/relationships/hyperlink" Target="https://wmich.edu/housing/info/policies" TargetMode="External"/><Relationship Id="rId3" Type="http://schemas.openxmlformats.org/officeDocument/2006/relationships/hyperlink" Target="https://housing.siu.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workbookViewId="0">
      <pane xSplit="1" topLeftCell="F1" activePane="topRight" state="frozen"/>
      <selection pane="topRight" activeCell="H2" sqref="H2"/>
    </sheetView>
  </sheetViews>
  <sheetFormatPr defaultRowHeight="15" x14ac:dyDescent="0.25"/>
  <cols>
    <col min="1" max="1" width="40.42578125" bestFit="1" customWidth="1"/>
    <col min="2" max="2" width="25.5703125" bestFit="1" customWidth="1"/>
    <col min="3" max="3" width="25.85546875" customWidth="1"/>
    <col min="4" max="4" width="20" bestFit="1" customWidth="1"/>
    <col min="5" max="5" width="30.140625" bestFit="1" customWidth="1"/>
    <col min="6" max="6" width="31.7109375" bestFit="1" customWidth="1"/>
    <col min="7" max="7" width="24.140625" bestFit="1" customWidth="1"/>
    <col min="8" max="8" width="36.28515625" bestFit="1" customWidth="1"/>
    <col min="9" max="9" width="36.28515625" customWidth="1"/>
    <col min="10" max="10" width="83.140625" bestFit="1" customWidth="1"/>
    <col min="11" max="11" width="22.140625" bestFit="1" customWidth="1"/>
  </cols>
  <sheetData>
    <row r="1" spans="1:11" s="1" customFormat="1" x14ac:dyDescent="0.25">
      <c r="A1" s="1" t="s">
        <v>0</v>
      </c>
      <c r="B1" s="1" t="s">
        <v>35</v>
      </c>
      <c r="C1" s="1" t="s">
        <v>1</v>
      </c>
      <c r="D1" s="1" t="s">
        <v>2</v>
      </c>
      <c r="E1" s="1" t="s">
        <v>3</v>
      </c>
      <c r="F1" s="1" t="s">
        <v>4</v>
      </c>
      <c r="G1" s="1" t="s">
        <v>5</v>
      </c>
      <c r="H1" s="1" t="s">
        <v>6</v>
      </c>
      <c r="I1" s="1" t="s">
        <v>12</v>
      </c>
      <c r="J1" s="1" t="s">
        <v>7</v>
      </c>
      <c r="K1" s="1" t="s">
        <v>8</v>
      </c>
    </row>
    <row r="2" spans="1:11" ht="120" x14ac:dyDescent="0.25">
      <c r="A2" s="2" t="s">
        <v>20</v>
      </c>
      <c r="B2" s="5" t="s">
        <v>37</v>
      </c>
      <c r="C2" s="5" t="s">
        <v>52</v>
      </c>
      <c r="D2" s="5" t="s">
        <v>9</v>
      </c>
      <c r="E2" s="5" t="s">
        <v>10</v>
      </c>
      <c r="F2" s="5" t="s">
        <v>11</v>
      </c>
      <c r="G2" s="5" t="s">
        <v>84</v>
      </c>
      <c r="H2" s="7">
        <v>0.92</v>
      </c>
      <c r="I2" s="4" t="s">
        <v>105</v>
      </c>
      <c r="J2" s="6" t="s">
        <v>85</v>
      </c>
      <c r="K2" s="6" t="s">
        <v>114</v>
      </c>
    </row>
    <row r="3" spans="1:11" ht="90" x14ac:dyDescent="0.25">
      <c r="A3" s="2" t="s">
        <v>21</v>
      </c>
      <c r="B3" s="5" t="s">
        <v>36</v>
      </c>
      <c r="C3" s="5" t="s">
        <v>50</v>
      </c>
      <c r="D3" s="5" t="s">
        <v>9</v>
      </c>
      <c r="E3" s="5" t="s">
        <v>10</v>
      </c>
      <c r="F3" s="5" t="s">
        <v>10</v>
      </c>
      <c r="G3" s="5" t="s">
        <v>81</v>
      </c>
      <c r="H3" s="7">
        <v>0.9</v>
      </c>
      <c r="I3" s="4" t="s">
        <v>105</v>
      </c>
      <c r="J3" s="6" t="s">
        <v>82</v>
      </c>
      <c r="K3" s="6" t="s">
        <v>112</v>
      </c>
    </row>
    <row r="4" spans="1:11" ht="90" x14ac:dyDescent="0.25">
      <c r="A4" s="2" t="s">
        <v>25</v>
      </c>
      <c r="B4" s="5" t="s">
        <v>37</v>
      </c>
      <c r="C4" s="5" t="s">
        <v>56</v>
      </c>
      <c r="D4" s="5" t="s">
        <v>9</v>
      </c>
      <c r="E4" s="5" t="s">
        <v>10</v>
      </c>
      <c r="F4" s="5" t="s">
        <v>10</v>
      </c>
      <c r="G4" s="5" t="s">
        <v>90</v>
      </c>
      <c r="H4" s="7">
        <v>0.88</v>
      </c>
      <c r="I4" s="4" t="s">
        <v>105</v>
      </c>
      <c r="J4" s="6" t="s">
        <v>91</v>
      </c>
      <c r="K4" s="6" t="s">
        <v>116</v>
      </c>
    </row>
    <row r="5" spans="1:11" ht="60" x14ac:dyDescent="0.25">
      <c r="A5" s="2" t="s">
        <v>24</v>
      </c>
      <c r="B5" s="5" t="s">
        <v>37</v>
      </c>
      <c r="C5" s="5" t="s">
        <v>55</v>
      </c>
      <c r="D5" s="5" t="s">
        <v>9</v>
      </c>
      <c r="E5" s="5" t="s">
        <v>10</v>
      </c>
      <c r="F5" s="5" t="s">
        <v>11</v>
      </c>
      <c r="G5" s="5" t="s">
        <v>88</v>
      </c>
      <c r="H5" s="7">
        <v>0.85</v>
      </c>
      <c r="I5" s="4" t="s">
        <v>105</v>
      </c>
      <c r="J5" s="6" t="s">
        <v>89</v>
      </c>
      <c r="K5" s="6" t="s">
        <v>119</v>
      </c>
    </row>
    <row r="6" spans="1:11" ht="165" x14ac:dyDescent="0.25">
      <c r="A6" s="2" t="s">
        <v>26</v>
      </c>
      <c r="B6" s="5" t="s">
        <v>37</v>
      </c>
      <c r="C6" s="5" t="s">
        <v>57</v>
      </c>
      <c r="D6" s="5" t="s">
        <v>9</v>
      </c>
      <c r="E6" s="5" t="s">
        <v>11</v>
      </c>
      <c r="F6" s="5" t="s">
        <v>11</v>
      </c>
      <c r="G6" s="5" t="s">
        <v>92</v>
      </c>
      <c r="H6" s="7">
        <v>0.84</v>
      </c>
      <c r="I6" s="4" t="s">
        <v>105</v>
      </c>
      <c r="J6" s="6" t="s">
        <v>93</v>
      </c>
      <c r="K6" s="6" t="s">
        <v>115</v>
      </c>
    </row>
    <row r="7" spans="1:11" ht="30" x14ac:dyDescent="0.25">
      <c r="A7" s="2" t="s">
        <v>27</v>
      </c>
      <c r="B7" s="5" t="s">
        <v>37</v>
      </c>
      <c r="C7" s="5" t="s">
        <v>58</v>
      </c>
      <c r="D7" s="5" t="s">
        <v>9</v>
      </c>
      <c r="E7" s="5" t="s">
        <v>11</v>
      </c>
      <c r="F7" s="5" t="s">
        <v>11</v>
      </c>
      <c r="G7" s="5" t="s">
        <v>71</v>
      </c>
      <c r="H7" s="7">
        <v>0.83</v>
      </c>
      <c r="I7" s="4" t="s">
        <v>105</v>
      </c>
      <c r="J7" s="6" t="s">
        <v>94</v>
      </c>
      <c r="K7" t="s">
        <v>121</v>
      </c>
    </row>
    <row r="8" spans="1:11" ht="60" x14ac:dyDescent="0.25">
      <c r="A8" s="2" t="s">
        <v>34</v>
      </c>
      <c r="B8" s="5" t="s">
        <v>36</v>
      </c>
      <c r="C8" s="5" t="s">
        <v>48</v>
      </c>
      <c r="D8" s="5" t="s">
        <v>9</v>
      </c>
      <c r="E8" s="5" t="s">
        <v>10</v>
      </c>
      <c r="F8" s="5" t="s">
        <v>10</v>
      </c>
      <c r="G8" s="5" t="s">
        <v>77</v>
      </c>
      <c r="H8" s="7">
        <v>0.82</v>
      </c>
      <c r="I8" s="4" t="s">
        <v>105</v>
      </c>
      <c r="J8" s="6" t="s">
        <v>78</v>
      </c>
      <c r="K8" s="6" t="s">
        <v>110</v>
      </c>
    </row>
    <row r="9" spans="1:11" ht="30" x14ac:dyDescent="0.25">
      <c r="A9" s="2" t="s">
        <v>18</v>
      </c>
      <c r="B9" s="5" t="s">
        <v>37</v>
      </c>
      <c r="C9" s="5" t="s">
        <v>59</v>
      </c>
      <c r="D9" s="5" t="s">
        <v>9</v>
      </c>
      <c r="E9" s="5" t="s">
        <v>11</v>
      </c>
      <c r="F9" s="5" t="s">
        <v>11</v>
      </c>
      <c r="G9" s="5" t="s">
        <v>96</v>
      </c>
      <c r="H9" s="7">
        <v>0.82</v>
      </c>
      <c r="I9" s="4" t="s">
        <v>105</v>
      </c>
      <c r="J9" s="6" t="s">
        <v>95</v>
      </c>
      <c r="K9" s="6" t="s">
        <v>120</v>
      </c>
    </row>
    <row r="10" spans="1:11" s="3" customFormat="1" ht="60" x14ac:dyDescent="0.25">
      <c r="A10" s="2" t="s">
        <v>14</v>
      </c>
      <c r="B10" s="5" t="s">
        <v>36</v>
      </c>
      <c r="C10" s="5" t="s">
        <v>38</v>
      </c>
      <c r="D10" s="5" t="s">
        <v>9</v>
      </c>
      <c r="E10" s="5" t="s">
        <v>10</v>
      </c>
      <c r="F10" s="5" t="s">
        <v>10</v>
      </c>
      <c r="G10" s="5" t="s">
        <v>97</v>
      </c>
      <c r="H10" s="7" t="s">
        <v>100</v>
      </c>
      <c r="I10" s="4" t="s">
        <v>105</v>
      </c>
      <c r="J10" s="3" t="s">
        <v>98</v>
      </c>
      <c r="K10" s="6" t="s">
        <v>101</v>
      </c>
    </row>
    <row r="11" spans="1:11" ht="30" x14ac:dyDescent="0.25">
      <c r="A11" s="2" t="s">
        <v>32</v>
      </c>
      <c r="B11" s="5" t="s">
        <v>36</v>
      </c>
      <c r="C11" s="5" t="s">
        <v>46</v>
      </c>
      <c r="D11" s="5" t="s">
        <v>9</v>
      </c>
      <c r="E11" s="5" t="s">
        <v>11</v>
      </c>
      <c r="F11" s="5" t="s">
        <v>11</v>
      </c>
      <c r="G11" s="5" t="s">
        <v>71</v>
      </c>
      <c r="H11" s="7">
        <v>0.81</v>
      </c>
      <c r="I11" s="4" t="s">
        <v>105</v>
      </c>
      <c r="J11" s="6" t="s">
        <v>74</v>
      </c>
      <c r="K11" s="6" t="s">
        <v>109</v>
      </c>
    </row>
    <row r="12" spans="1:11" ht="30" x14ac:dyDescent="0.25">
      <c r="A12" s="2" t="s">
        <v>19</v>
      </c>
      <c r="B12" s="5" t="s">
        <v>37</v>
      </c>
      <c r="C12" s="5" t="s">
        <v>51</v>
      </c>
      <c r="D12" s="5" t="s">
        <v>9</v>
      </c>
      <c r="E12" s="5" t="s">
        <v>11</v>
      </c>
      <c r="F12" s="5" t="s">
        <v>11</v>
      </c>
      <c r="G12" s="5" t="s">
        <v>71</v>
      </c>
      <c r="H12" s="7">
        <v>0.8</v>
      </c>
      <c r="I12" s="4" t="s">
        <v>105</v>
      </c>
      <c r="J12" s="6" t="s">
        <v>83</v>
      </c>
      <c r="K12" s="6" t="s">
        <v>113</v>
      </c>
    </row>
    <row r="13" spans="1:11" ht="135" x14ac:dyDescent="0.25">
      <c r="A13" s="2" t="s">
        <v>17</v>
      </c>
      <c r="B13" s="5" t="s">
        <v>36</v>
      </c>
      <c r="C13" s="5" t="s">
        <v>49</v>
      </c>
      <c r="D13" s="5" t="s">
        <v>9</v>
      </c>
      <c r="E13" s="5" t="s">
        <v>10</v>
      </c>
      <c r="F13" s="5" t="s">
        <v>11</v>
      </c>
      <c r="G13" s="5" t="s">
        <v>79</v>
      </c>
      <c r="H13" s="7">
        <v>0.78</v>
      </c>
      <c r="I13" s="4" t="s">
        <v>105</v>
      </c>
      <c r="J13" s="6" t="s">
        <v>80</v>
      </c>
      <c r="K13" s="6" t="s">
        <v>111</v>
      </c>
    </row>
    <row r="14" spans="1:11" ht="30" x14ac:dyDescent="0.25">
      <c r="A14" s="2" t="s">
        <v>22</v>
      </c>
      <c r="B14" s="5" t="s">
        <v>37</v>
      </c>
      <c r="C14" s="5" t="s">
        <v>53</v>
      </c>
      <c r="D14" s="5" t="s">
        <v>9</v>
      </c>
      <c r="E14" s="5" t="s">
        <v>11</v>
      </c>
      <c r="F14" s="5" t="s">
        <v>11</v>
      </c>
      <c r="G14" s="5" t="s">
        <v>71</v>
      </c>
      <c r="H14" s="7">
        <v>0.78</v>
      </c>
      <c r="I14" s="4" t="s">
        <v>105</v>
      </c>
      <c r="J14" s="6" t="s">
        <v>86</v>
      </c>
      <c r="K14" s="6" t="s">
        <v>117</v>
      </c>
    </row>
    <row r="15" spans="1:11" ht="120" x14ac:dyDescent="0.25">
      <c r="A15" s="2" t="s">
        <v>31</v>
      </c>
      <c r="B15" s="5" t="s">
        <v>36</v>
      </c>
      <c r="C15" s="5" t="s">
        <v>45</v>
      </c>
      <c r="D15" s="5" t="s">
        <v>9</v>
      </c>
      <c r="E15" s="5" t="s">
        <v>10</v>
      </c>
      <c r="F15" s="5" t="s">
        <v>11</v>
      </c>
      <c r="G15" s="5" t="s">
        <v>73</v>
      </c>
      <c r="H15" s="7">
        <v>0.77</v>
      </c>
      <c r="I15" s="4" t="s">
        <v>105</v>
      </c>
      <c r="J15" s="6" t="s">
        <v>72</v>
      </c>
      <c r="K15" s="6" t="s">
        <v>108</v>
      </c>
    </row>
    <row r="16" spans="1:11" ht="120" x14ac:dyDescent="0.25">
      <c r="A16" s="2" t="s">
        <v>33</v>
      </c>
      <c r="B16" s="5" t="s">
        <v>36</v>
      </c>
      <c r="C16" s="5" t="s">
        <v>47</v>
      </c>
      <c r="D16" s="5" t="s">
        <v>9</v>
      </c>
      <c r="E16" s="5" t="s">
        <v>10</v>
      </c>
      <c r="F16" s="5" t="s">
        <v>10</v>
      </c>
      <c r="G16" s="5" t="s">
        <v>75</v>
      </c>
      <c r="H16" s="7">
        <v>0.77</v>
      </c>
      <c r="I16" s="4" t="s">
        <v>105</v>
      </c>
      <c r="J16" s="6" t="s">
        <v>76</v>
      </c>
      <c r="K16" s="6" t="s">
        <v>106</v>
      </c>
    </row>
    <row r="17" spans="1:11" ht="45" x14ac:dyDescent="0.25">
      <c r="A17" s="2" t="s">
        <v>29</v>
      </c>
      <c r="B17" s="5" t="s">
        <v>36</v>
      </c>
      <c r="C17" s="5" t="s">
        <v>42</v>
      </c>
      <c r="D17" s="5" t="s">
        <v>9</v>
      </c>
      <c r="E17" s="5" t="s">
        <v>10</v>
      </c>
      <c r="F17" s="5" t="s">
        <v>11</v>
      </c>
      <c r="G17" s="5" t="s">
        <v>65</v>
      </c>
      <c r="H17" s="7">
        <v>0.76</v>
      </c>
      <c r="I17" s="7">
        <v>0.66500000000000004</v>
      </c>
      <c r="J17" s="6" t="s">
        <v>66</v>
      </c>
      <c r="K17" s="6" t="s">
        <v>122</v>
      </c>
    </row>
    <row r="18" spans="1:11" ht="30" x14ac:dyDescent="0.25">
      <c r="A18" s="2" t="s">
        <v>23</v>
      </c>
      <c r="B18" s="5" t="s">
        <v>37</v>
      </c>
      <c r="C18" s="5" t="s">
        <v>54</v>
      </c>
      <c r="D18" s="5" t="s">
        <v>9</v>
      </c>
      <c r="E18" s="5" t="s">
        <v>11</v>
      </c>
      <c r="F18" s="5" t="s">
        <v>11</v>
      </c>
      <c r="G18" s="5" t="s">
        <v>71</v>
      </c>
      <c r="H18" s="7">
        <v>0.75</v>
      </c>
      <c r="I18" s="4" t="s">
        <v>105</v>
      </c>
      <c r="J18" s="6" t="s">
        <v>87</v>
      </c>
      <c r="K18" s="6" t="s">
        <v>118</v>
      </c>
    </row>
    <row r="19" spans="1:11" ht="45" x14ac:dyDescent="0.25">
      <c r="A19" s="2" t="s">
        <v>15</v>
      </c>
      <c r="B19" s="5" t="s">
        <v>36</v>
      </c>
      <c r="C19" s="5" t="s">
        <v>40</v>
      </c>
      <c r="D19" s="5" t="s">
        <v>9</v>
      </c>
      <c r="E19" s="5" t="s">
        <v>10</v>
      </c>
      <c r="F19" s="5" t="s">
        <v>11</v>
      </c>
      <c r="G19" s="5" t="s">
        <v>62</v>
      </c>
      <c r="H19" s="7">
        <v>0.7</v>
      </c>
      <c r="I19" s="4" t="s">
        <v>105</v>
      </c>
      <c r="J19" s="6" t="s">
        <v>69</v>
      </c>
      <c r="K19" s="6" t="s">
        <v>103</v>
      </c>
    </row>
    <row r="20" spans="1:11" x14ac:dyDescent="0.25">
      <c r="A20" s="2" t="s">
        <v>30</v>
      </c>
      <c r="B20" s="5" t="s">
        <v>36</v>
      </c>
      <c r="C20" s="5" t="s">
        <v>44</v>
      </c>
      <c r="D20" s="5" t="s">
        <v>9</v>
      </c>
      <c r="E20" s="5" t="s">
        <v>10</v>
      </c>
      <c r="F20" s="5" t="s">
        <v>11</v>
      </c>
      <c r="G20" s="5" t="s">
        <v>70</v>
      </c>
      <c r="H20" s="7">
        <v>0.69399999999999995</v>
      </c>
      <c r="I20" s="4" t="s">
        <v>105</v>
      </c>
      <c r="J20" s="6" t="s">
        <v>61</v>
      </c>
      <c r="K20" s="6" t="s">
        <v>123</v>
      </c>
    </row>
    <row r="21" spans="1:11" ht="240" x14ac:dyDescent="0.25">
      <c r="A21" s="2" t="s">
        <v>13</v>
      </c>
      <c r="B21" s="5" t="s">
        <v>36</v>
      </c>
      <c r="C21" s="5" t="s">
        <v>39</v>
      </c>
      <c r="D21" s="5" t="s">
        <v>9</v>
      </c>
      <c r="E21" s="5" t="s">
        <v>10</v>
      </c>
      <c r="F21" s="5" t="s">
        <v>10</v>
      </c>
      <c r="G21" s="5" t="s">
        <v>99</v>
      </c>
      <c r="H21" s="7">
        <v>0.68</v>
      </c>
      <c r="I21" s="4" t="s">
        <v>105</v>
      </c>
      <c r="J21" s="6" t="s">
        <v>60</v>
      </c>
      <c r="K21" s="6" t="s">
        <v>102</v>
      </c>
    </row>
    <row r="22" spans="1:11" ht="45" x14ac:dyDescent="0.25">
      <c r="A22" s="2" t="s">
        <v>28</v>
      </c>
      <c r="B22" s="5" t="s">
        <v>36</v>
      </c>
      <c r="C22" s="5" t="s">
        <v>41</v>
      </c>
      <c r="D22" s="5" t="s">
        <v>9</v>
      </c>
      <c r="E22" s="5" t="s">
        <v>10</v>
      </c>
      <c r="F22" s="5" t="s">
        <v>11</v>
      </c>
      <c r="G22" s="5" t="s">
        <v>63</v>
      </c>
      <c r="H22" s="7">
        <v>0.63</v>
      </c>
      <c r="I22" s="7">
        <v>0.48799999999999999</v>
      </c>
      <c r="J22" s="6" t="s">
        <v>64</v>
      </c>
      <c r="K22" s="6" t="s">
        <v>104</v>
      </c>
    </row>
    <row r="23" spans="1:11" ht="45" x14ac:dyDescent="0.25">
      <c r="A23" s="2" t="s">
        <v>16</v>
      </c>
      <c r="B23" s="5" t="s">
        <v>36</v>
      </c>
      <c r="C23" s="5" t="s">
        <v>43</v>
      </c>
      <c r="D23" s="5" t="s">
        <v>9</v>
      </c>
      <c r="E23" s="5" t="s">
        <v>10</v>
      </c>
      <c r="F23" s="5" t="s">
        <v>10</v>
      </c>
      <c r="G23" s="5" t="s">
        <v>67</v>
      </c>
      <c r="H23" s="7">
        <v>0.61</v>
      </c>
      <c r="I23" s="8">
        <v>0.47</v>
      </c>
      <c r="J23" s="6" t="s">
        <v>68</v>
      </c>
      <c r="K23" s="6" t="s">
        <v>107</v>
      </c>
    </row>
  </sheetData>
  <sortState xmlns:xlrd2="http://schemas.microsoft.com/office/spreadsheetml/2017/richdata2" ref="A2:K25">
    <sortCondition descending="1" ref="H1:H25"/>
  </sortState>
  <hyperlinks>
    <hyperlink ref="J20" r:id="rId1" xr:uid="{07B1B415-1E27-4FF0-B483-06DD2FC260B6}"/>
    <hyperlink ref="J21" r:id="rId2" xr:uid="{9E0376ED-B664-4BFA-9EA6-AF562FA48E65}"/>
    <hyperlink ref="J22" r:id="rId3" xr:uid="{909884CC-B2F4-43A1-AA66-4C4306CDD9D7}"/>
    <hyperlink ref="J17" r:id="rId4" xr:uid="{6127158C-060A-409F-AA0E-070691A45E19}"/>
    <hyperlink ref="J23" r:id="rId5" xr:uid="{0999596D-9654-4DB2-881B-3D40267F0015}"/>
    <hyperlink ref="J19" r:id="rId6" xr:uid="{73116C80-C965-4DF3-9DAB-8770516B566C}"/>
    <hyperlink ref="J15" r:id="rId7" xr:uid="{1D99F184-EEE7-4BD9-B132-5C7F5A94A3E7}"/>
    <hyperlink ref="J11" r:id="rId8" xr:uid="{E6DE6929-9A8F-43F6-A3F8-28936CE81255}"/>
    <hyperlink ref="J16" r:id="rId9" xr:uid="{19243B73-8BF9-42F3-AA0B-1E7A4F88ACBD}"/>
    <hyperlink ref="J8" r:id="rId10" xr:uid="{AC024C75-346D-4F19-A5AF-8C9C00D08D41}"/>
    <hyperlink ref="J13" r:id="rId11" xr:uid="{DCBD6EC8-BFFD-4250-B3B4-56C9CCEBCEDD}"/>
    <hyperlink ref="J3" r:id="rId12" xr:uid="{0BAAC10F-68AF-488C-9F41-1DE35003C631}"/>
    <hyperlink ref="J12" r:id="rId13" xr:uid="{B26BB18F-2BBD-4303-8B8B-1B84AAE1DE58}"/>
    <hyperlink ref="J2" r:id="rId14" xr:uid="{8073DB1B-4BD1-4F36-A815-9C7EC08899C9}"/>
    <hyperlink ref="J14" r:id="rId15" xr:uid="{26272283-F61E-492D-90B1-DB31D4D9C3EC}"/>
    <hyperlink ref="J18" r:id="rId16" xr:uid="{33AB51BD-3C58-447B-8E67-5506B505C6A7}"/>
    <hyperlink ref="J5" r:id="rId17" xr:uid="{9C9F4CE1-8502-408B-8A32-ECDA5612093B}"/>
    <hyperlink ref="J4" r:id="rId18" xr:uid="{9B68C0E3-9151-4B3D-8975-DD8669AD6892}"/>
    <hyperlink ref="J6" r:id="rId19" xr:uid="{DB3C8194-799A-4587-BB0E-74709753D90B}"/>
    <hyperlink ref="J7" r:id="rId20" xr:uid="{1BE2F724-C6CC-41E2-95CC-B99C9FB66C46}"/>
    <hyperlink ref="J9" r:id="rId21" xr:uid="{A9A72BAC-A397-4670-AE95-FEAE22E3539D}"/>
    <hyperlink ref="K22" r:id="rId22" xr:uid="{B6CFE758-4855-4033-AB53-C1A93D196324}"/>
    <hyperlink ref="K16" r:id="rId23" xr:uid="{8A169FD1-49B9-443F-8595-AD109012B553}"/>
    <hyperlink ref="K17" r:id="rId24" xr:uid="{743432BB-A92A-4FDB-B335-357E541CA310}"/>
    <hyperlink ref="K23" r:id="rId25" xr:uid="{B80284CE-2E9D-4B6F-A6A5-C57A1BF57FCD}"/>
    <hyperlink ref="K15" r:id="rId26" location="retgrad" xr:uid="{F2B6B66C-E9C7-48E0-A938-6AAA4188C87F}"/>
    <hyperlink ref="K11" r:id="rId27" location="retgrad" xr:uid="{233607C0-3596-402B-9AF0-F2313800DDCC}"/>
    <hyperlink ref="K8" r:id="rId28" xr:uid="{6BD53318-F863-4D29-ADE4-C1A37F54086F}"/>
    <hyperlink ref="K13" r:id="rId29" location="retgrad" xr:uid="{0E806C06-7FD5-4F2D-AD74-E2261C84687B}"/>
    <hyperlink ref="K3" r:id="rId30" location="retgrad" xr:uid="{0DB79C0D-0ADA-43EC-B73D-580FEEF6993D}"/>
    <hyperlink ref="K12" r:id="rId31" location="retgrad" xr:uid="{B4E9B240-4881-4D42-849A-27CB8A8AEE8F}"/>
    <hyperlink ref="K2" r:id="rId32" location="retgrad" xr:uid="{785C1E8C-D468-4536-BE3B-84C0FB7448DA}"/>
    <hyperlink ref="K6" r:id="rId33" location="retgrad" xr:uid="{E8DF669E-1DBC-45FF-927F-C329A954FE74}"/>
    <hyperlink ref="K4" r:id="rId34" location="retgrad" xr:uid="{B933A0A4-FE9E-4FB7-AAE9-2A325EE5EED8}"/>
    <hyperlink ref="K14" r:id="rId35" location="retgrad" xr:uid="{B3E29AB4-BD8A-4DC9-AED3-567EFC613F2A}"/>
    <hyperlink ref="K18" r:id="rId36" location="retgrad" xr:uid="{4B6DC927-0D12-4424-B9D5-F3B907BF1FD6}"/>
    <hyperlink ref="K5" r:id="rId37" location="retgrad" xr:uid="{5DC05735-1FE2-4B11-B226-1381942B2656}"/>
    <hyperlink ref="K9" r:id="rId38" location="retgrad" xr:uid="{7A07381C-4571-4D50-BF94-1C6D309CE75E}"/>
    <hyperlink ref="K20" r:id="rId39" xr:uid="{6261A011-4D2C-48DD-8D89-DBB2CE9B0FA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CB48E-B761-4BA3-80E8-299B8A62B9DA}">
  <dimension ref="B1:D2"/>
  <sheetViews>
    <sheetView workbookViewId="0">
      <selection activeCell="G27" sqref="G27"/>
    </sheetView>
  </sheetViews>
  <sheetFormatPr defaultRowHeight="15" x14ac:dyDescent="0.25"/>
  <cols>
    <col min="2" max="2" width="35.7109375" bestFit="1" customWidth="1"/>
    <col min="3" max="3" width="34.7109375" bestFit="1" customWidth="1"/>
    <col min="4" max="4" width="39.140625" bestFit="1" customWidth="1"/>
  </cols>
  <sheetData>
    <row r="1" spans="2:4" ht="15.75" x14ac:dyDescent="0.25">
      <c r="B1" s="10" t="s">
        <v>124</v>
      </c>
      <c r="C1" s="10" t="s">
        <v>125</v>
      </c>
      <c r="D1" s="10" t="s">
        <v>126</v>
      </c>
    </row>
    <row r="2" spans="2:4" x14ac:dyDescent="0.25">
      <c r="B2" s="9">
        <f>AVERAGEIFS('Housing Research Template'!H2:H23,
            'Housing Research Template'!E2:E23,"Yes",
            'Housing Research Template'!F2:F23,"Yes")</f>
        <v>0.77666666666666673</v>
      </c>
      <c r="C2" s="9">
        <f>AVERAGEIFS('Housing Research Template'!H2:H23,
            'Housing Research Template'!E2:E23,"Yes",
            'Housing Research Template'!F2:F23,"No")</f>
        <v>0.76300000000000001</v>
      </c>
      <c r="D2" s="9">
        <f>AVERAGEIFS('Housing Research Template'!H2:H23,
            'Housing Research Template'!E2:E23,"No",
            'Housing Research Template'!F2:F23,"No")</f>
        <v>0.80428571428571427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Housing Research Template</vt:lpstr>
      <vt:lpstr>Average Retention by housing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Minga (WORK), Andy</cp:lastModifiedBy>
  <dcterms:created xsi:type="dcterms:W3CDTF">2026-02-02T19:52:52Z</dcterms:created>
  <dcterms:modified xsi:type="dcterms:W3CDTF">2026-02-26T02:54:30Z</dcterms:modified>
</cp:coreProperties>
</file>